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<sst xmlns="http://schemas.openxmlformats.org/spreadsheetml/2006/main" count="25" uniqueCount="22">
  <si>
    <t>Angel David Arias Martínez</t>
  </si>
  <si>
    <t>Ingresa cantidades, precios y ventas.Excel calculará totales, stock restante y motrices basicas</t>
  </si>
  <si>
    <t>Producto</t>
  </si>
  <si>
    <t>Categoría</t>
  </si>
  <si>
    <t>Cantidad Inicial</t>
  </si>
  <si>
    <t>Precio Unitario</t>
  </si>
  <si>
    <t>Cantidad Vendida</t>
  </si>
  <si>
    <t>Stock restante</t>
  </si>
  <si>
    <t>Total Invertido</t>
  </si>
  <si>
    <t>Total Vendido</t>
  </si>
  <si>
    <t>% del total</t>
  </si>
  <si>
    <t>Precio Total (Iva)</t>
  </si>
  <si>
    <t>Cuaderno</t>
  </si>
  <si>
    <t>Papelería</t>
  </si>
  <si>
    <t>Lápiz</t>
  </si>
  <si>
    <t>Borrador</t>
  </si>
  <si>
    <t>Regla</t>
  </si>
  <si>
    <t>Útiles</t>
  </si>
  <si>
    <t>Carpeta</t>
  </si>
  <si>
    <t>Oficina</t>
  </si>
  <si>
    <t>Marcador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</si>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</sst>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"/>
    <numFmt numFmtId="165" formatCode="0.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2" fontId="1" numFmtId="0" xfId="0" applyBorder="1" applyFont="1"/>
    <xf borderId="1" fillId="2" fontId="1" numFmtId="164" xfId="0" applyBorder="1" applyFont="1" applyNumberFormat="1"/>
    <xf borderId="1" fillId="2" fontId="1" numFmtId="164" xfId="0" applyBorder="1" applyFont="1" applyNumberFormat="1"/>
    <xf borderId="1" fillId="2" fontId="1" numFmtId="165" xfId="0" applyBorder="1" applyFont="1" applyNumberFormat="1"/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4" xfId="0" applyBorder="1" applyFont="1" applyNumberFormat="1"/>
    <xf borderId="1" fillId="0" fontId="1" numFmtId="165" xfId="0" applyBorder="1" applyFont="1" applyNumberFormat="1"/>
    <xf borderId="1" fillId="3" fontId="1" numFmtId="0" xfId="0" applyAlignment="1" applyBorder="1" applyFill="1" applyFont="1">
      <alignment readingOrder="0"/>
    </xf>
    <xf borderId="1" fillId="3" fontId="1" numFmtId="0" xfId="0" applyBorder="1" applyFont="1"/>
    <xf borderId="1" fillId="3" fontId="1" numFmtId="164" xfId="0" applyBorder="1" applyFont="1" applyNumberFormat="1"/>
    <xf borderId="1" fillId="3" fontId="1" numFmtId="164" xfId="0" applyBorder="1" applyFont="1" applyNumberFormat="1"/>
    <xf borderId="1" fillId="0" fontId="1" numFmtId="9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del 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'Hoja 1'!$I$4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1'!$A$5:$A$10</c:f>
            </c:strRef>
          </c:cat>
          <c:val>
            <c:numRef>
              <c:f>'Hoja 1'!$I$5:$I$10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923925</xdr:colOff>
      <xdr:row>12</xdr:row>
      <xdr:rowOff>0</xdr:rowOff>
    </xdr:from>
    <xdr:ext cx="7734300" cy="3962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11" displayName="Table_1" name="Table_1" id="1">
  <tableColumns count="10">
    <tableColumn name="Producto" id="1"/>
    <tableColumn name="Categoría" id="2"/>
    <tableColumn name="Cantidad Inicial" id="3"/>
    <tableColumn name="Precio Unitario" id="4"/>
    <tableColumn name="Cantidad Vendida" id="5"/>
    <tableColumn name="Stock restante" id="6"/>
    <tableColumn name="Total Invertido" id="7"/>
    <tableColumn name="Total Vendido" id="8"/>
    <tableColumn name="% del total" id="9"/>
    <tableColumn name="Precio Total (Iva)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0"/>
    <col customWidth="1" min="11" max="11" width="20.63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1"/>
    </row>
    <row r="5">
      <c r="A5" s="3" t="s">
        <v>12</v>
      </c>
      <c r="B5" s="3" t="s">
        <v>13</v>
      </c>
      <c r="C5" s="3">
        <v>10.0</v>
      </c>
      <c r="D5" s="4">
        <v>4500.0</v>
      </c>
      <c r="E5" s="3">
        <v>4.0</v>
      </c>
      <c r="F5" s="5">
        <f t="shared" ref="F5:F10" si="1">C5-E5</f>
        <v>6</v>
      </c>
      <c r="G5" s="6">
        <f t="shared" ref="G5:G10" si="2">D5*C5</f>
        <v>45000</v>
      </c>
      <c r="H5" s="7">
        <f t="shared" ref="H5:H10" si="3">D5*E5</f>
        <v>18000</v>
      </c>
      <c r="I5" s="8">
        <f t="shared" ref="I5:I11" si="4">(G5/$G$11)</f>
        <v>0.2231036192</v>
      </c>
      <c r="J5" s="6">
        <f t="shared" ref="J5:J11" si="5">D5*1.9</f>
        <v>8550</v>
      </c>
    </row>
    <row r="6">
      <c r="A6" s="2" t="s">
        <v>14</v>
      </c>
      <c r="B6" s="2" t="s">
        <v>13</v>
      </c>
      <c r="C6" s="2">
        <v>25.0</v>
      </c>
      <c r="D6" s="9">
        <v>1500.0</v>
      </c>
      <c r="E6" s="2">
        <v>10.0</v>
      </c>
      <c r="F6" s="10">
        <f t="shared" si="1"/>
        <v>15</v>
      </c>
      <c r="G6" s="11">
        <f t="shared" si="2"/>
        <v>37500</v>
      </c>
      <c r="H6" s="12">
        <f t="shared" si="3"/>
        <v>15000</v>
      </c>
      <c r="I6" s="13">
        <f t="shared" si="4"/>
        <v>0.1859196827</v>
      </c>
      <c r="J6" s="6">
        <f t="shared" si="5"/>
        <v>2850</v>
      </c>
    </row>
    <row r="7">
      <c r="A7" s="2" t="s">
        <v>15</v>
      </c>
      <c r="B7" s="2" t="s">
        <v>13</v>
      </c>
      <c r="C7" s="2">
        <v>8.0</v>
      </c>
      <c r="D7" s="9">
        <v>2000.0</v>
      </c>
      <c r="E7" s="2">
        <v>3.0</v>
      </c>
      <c r="F7" s="10">
        <f t="shared" si="1"/>
        <v>5</v>
      </c>
      <c r="G7" s="11">
        <f t="shared" si="2"/>
        <v>16000</v>
      </c>
      <c r="H7" s="12">
        <f t="shared" si="3"/>
        <v>6000</v>
      </c>
      <c r="I7" s="13">
        <f t="shared" si="4"/>
        <v>0.07932573128</v>
      </c>
      <c r="J7" s="6">
        <f t="shared" si="5"/>
        <v>3800</v>
      </c>
    </row>
    <row r="8">
      <c r="A8" s="2" t="s">
        <v>16</v>
      </c>
      <c r="B8" s="2" t="s">
        <v>17</v>
      </c>
      <c r="C8" s="2">
        <v>12.0</v>
      </c>
      <c r="D8" s="9">
        <v>3000.0</v>
      </c>
      <c r="E8" s="2">
        <v>5.0</v>
      </c>
      <c r="F8" s="10">
        <f t="shared" si="1"/>
        <v>7</v>
      </c>
      <c r="G8" s="11">
        <f t="shared" si="2"/>
        <v>36000</v>
      </c>
      <c r="H8" s="12">
        <f t="shared" si="3"/>
        <v>15000</v>
      </c>
      <c r="I8" s="13">
        <f t="shared" si="4"/>
        <v>0.1784828954</v>
      </c>
      <c r="J8" s="6">
        <f t="shared" si="5"/>
        <v>5700</v>
      </c>
    </row>
    <row r="9">
      <c r="A9" s="2" t="s">
        <v>18</v>
      </c>
      <c r="B9" s="2" t="s">
        <v>19</v>
      </c>
      <c r="C9" s="2">
        <v>6.0</v>
      </c>
      <c r="D9" s="9">
        <v>5500.0</v>
      </c>
      <c r="E9" s="2">
        <v>2.0</v>
      </c>
      <c r="F9" s="10">
        <f t="shared" si="1"/>
        <v>4</v>
      </c>
      <c r="G9" s="11">
        <f t="shared" si="2"/>
        <v>33000</v>
      </c>
      <c r="H9" s="12">
        <f t="shared" si="3"/>
        <v>11000</v>
      </c>
      <c r="I9" s="13">
        <f t="shared" si="4"/>
        <v>0.1636093208</v>
      </c>
      <c r="J9" s="6">
        <f t="shared" si="5"/>
        <v>10450</v>
      </c>
    </row>
    <row r="10">
      <c r="A10" s="2" t="s">
        <v>20</v>
      </c>
      <c r="B10" s="2" t="s">
        <v>19</v>
      </c>
      <c r="C10" s="2">
        <v>9.0</v>
      </c>
      <c r="D10" s="9">
        <v>3800.0</v>
      </c>
      <c r="E10" s="2">
        <v>4.0</v>
      </c>
      <c r="F10" s="10">
        <f t="shared" si="1"/>
        <v>5</v>
      </c>
      <c r="G10" s="11">
        <f t="shared" si="2"/>
        <v>34200</v>
      </c>
      <c r="H10" s="12">
        <f t="shared" si="3"/>
        <v>15200</v>
      </c>
      <c r="I10" s="13">
        <f t="shared" si="4"/>
        <v>0.1695587506</v>
      </c>
      <c r="J10" s="6">
        <f t="shared" si="5"/>
        <v>7220</v>
      </c>
    </row>
    <row r="11">
      <c r="A11" s="14" t="s">
        <v>21</v>
      </c>
      <c r="B11" s="15"/>
      <c r="C11" s="15">
        <f t="shared" ref="C11:H11" si="6">SUM(C5:C10)</f>
        <v>70</v>
      </c>
      <c r="D11" s="16">
        <f t="shared" si="6"/>
        <v>20300</v>
      </c>
      <c r="E11" s="15">
        <f t="shared" si="6"/>
        <v>28</v>
      </c>
      <c r="F11" s="15">
        <f t="shared" si="6"/>
        <v>42</v>
      </c>
      <c r="G11" s="16">
        <f t="shared" si="6"/>
        <v>201700</v>
      </c>
      <c r="H11" s="17">
        <f t="shared" si="6"/>
        <v>80200</v>
      </c>
      <c r="I11" s="18">
        <f t="shared" si="4"/>
        <v>1</v>
      </c>
      <c r="J11" s="6">
        <f t="shared" si="5"/>
        <v>38570</v>
      </c>
    </row>
  </sheetData>
  <conditionalFormatting sqref="D13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